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895789F-1CB1-4851-882E-9031EAFD7BCF}" xr6:coauthVersionLast="47" xr6:coauthVersionMax="47" xr10:uidLastSave="{00000000-0000-0000-0000-000000000000}"/>
  <bookViews>
    <workbookView xWindow="28680" yWindow="-120" windowWidth="38640" windowHeight="21120" firstSheet="11" activeTab="2" xr2:uid="{00000000-000D-0000-FFFF-FFFF00000000}"/>
  </bookViews>
  <sheets>
    <sheet name="January" sheetId="1" r:id="rId1"/>
    <sheet name="February" sheetId="3" r:id="rId2"/>
    <sheet name="March" sheetId="4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C10" i="4"/>
  <c r="G23" i="4"/>
  <c r="C3" i="3"/>
  <c r="H9" i="3"/>
  <c r="C23" i="5"/>
  <c r="D23" i="5"/>
  <c r="E23" i="5"/>
  <c r="F23" i="5"/>
  <c r="G23" i="5"/>
  <c r="H23" i="5"/>
  <c r="C23" i="6"/>
  <c r="D23" i="6"/>
  <c r="E23" i="6"/>
  <c r="F23" i="6"/>
  <c r="G23" i="6"/>
  <c r="H23" i="6"/>
  <c r="C23" i="7"/>
  <c r="D23" i="7"/>
  <c r="E23" i="7"/>
  <c r="F23" i="7"/>
  <c r="G23" i="7"/>
  <c r="H23" i="7"/>
  <c r="C23" i="8"/>
  <c r="D23" i="8"/>
  <c r="E23" i="8"/>
  <c r="F23" i="8"/>
  <c r="G23" i="8"/>
  <c r="H23" i="8"/>
  <c r="C23" i="9"/>
  <c r="D23" i="9"/>
  <c r="E23" i="9"/>
  <c r="F23" i="9"/>
  <c r="G23" i="9"/>
  <c r="H23" i="9"/>
  <c r="C23" i="10"/>
  <c r="D23" i="10"/>
  <c r="E23" i="10"/>
  <c r="F23" i="10"/>
  <c r="G23" i="10"/>
  <c r="H23" i="10"/>
  <c r="C23" i="11"/>
  <c r="D23" i="11"/>
  <c r="E23" i="11"/>
  <c r="F23" i="11"/>
  <c r="G23" i="11"/>
  <c r="H23" i="11"/>
  <c r="C23" i="12"/>
  <c r="D23" i="12"/>
  <c r="E23" i="12"/>
  <c r="F23" i="12"/>
  <c r="G23" i="12"/>
  <c r="H23" i="12"/>
  <c r="C23" i="13"/>
  <c r="D23" i="13"/>
  <c r="E23" i="13"/>
  <c r="F23" i="13"/>
  <c r="G23" i="13"/>
  <c r="H23" i="13"/>
  <c r="G23" i="1"/>
  <c r="F23" i="1"/>
  <c r="E23" i="1"/>
  <c r="D23" i="1"/>
  <c r="C23" i="1"/>
  <c r="H23" i="1" s="1"/>
  <c r="C3" i="1" s="1"/>
  <c r="H22" i="1"/>
  <c r="G23" i="3"/>
  <c r="F23" i="3"/>
  <c r="E23" i="3"/>
  <c r="D23" i="3"/>
  <c r="C23" i="3"/>
  <c r="H23" i="3" s="1"/>
  <c r="H9" i="4"/>
  <c r="C3" i="13"/>
  <c r="H22" i="13"/>
  <c r="H21" i="13"/>
  <c r="H20" i="13"/>
  <c r="H19" i="13"/>
  <c r="H18" i="13"/>
  <c r="H17" i="13"/>
  <c r="H16" i="13"/>
  <c r="H15" i="13"/>
  <c r="H14" i="13"/>
  <c r="G10" i="13"/>
  <c r="F10" i="13"/>
  <c r="E10" i="13"/>
  <c r="D10" i="13"/>
  <c r="C10" i="13"/>
  <c r="H10" i="13" s="1"/>
  <c r="C2" i="13" s="1"/>
  <c r="F2" i="13" s="1"/>
  <c r="H9" i="13"/>
  <c r="H8" i="13"/>
  <c r="H7" i="13"/>
  <c r="H6" i="13"/>
  <c r="C3" i="12"/>
  <c r="H22" i="12"/>
  <c r="H21" i="12"/>
  <c r="H20" i="12"/>
  <c r="H19" i="12"/>
  <c r="H18" i="12"/>
  <c r="H17" i="12"/>
  <c r="H16" i="12"/>
  <c r="H15" i="12"/>
  <c r="H14" i="12"/>
  <c r="G10" i="12"/>
  <c r="F10" i="12"/>
  <c r="E10" i="12"/>
  <c r="D10" i="12"/>
  <c r="C10" i="12"/>
  <c r="H10" i="12" s="1"/>
  <c r="C2" i="12" s="1"/>
  <c r="F2" i="12" s="1"/>
  <c r="H9" i="12"/>
  <c r="H8" i="12"/>
  <c r="H7" i="12"/>
  <c r="H6" i="12"/>
  <c r="C3" i="11"/>
  <c r="H22" i="11"/>
  <c r="H21" i="11"/>
  <c r="H20" i="11"/>
  <c r="H19" i="11"/>
  <c r="H18" i="11"/>
  <c r="H17" i="11"/>
  <c r="H16" i="11"/>
  <c r="H15" i="11"/>
  <c r="H14" i="11"/>
  <c r="G10" i="11"/>
  <c r="F10" i="11"/>
  <c r="E10" i="11"/>
  <c r="D10" i="11"/>
  <c r="C10" i="11"/>
  <c r="H10" i="11" s="1"/>
  <c r="C2" i="11" s="1"/>
  <c r="H9" i="11"/>
  <c r="H8" i="11"/>
  <c r="H7" i="11"/>
  <c r="H6" i="11"/>
  <c r="C3" i="10"/>
  <c r="H22" i="10"/>
  <c r="H21" i="10"/>
  <c r="H20" i="10"/>
  <c r="H19" i="10"/>
  <c r="H18" i="10"/>
  <c r="H17" i="10"/>
  <c r="H16" i="10"/>
  <c r="H15" i="10"/>
  <c r="H14" i="10"/>
  <c r="G10" i="10"/>
  <c r="F10" i="10"/>
  <c r="E10" i="10"/>
  <c r="D10" i="10"/>
  <c r="C10" i="10"/>
  <c r="H10" i="10" s="1"/>
  <c r="C2" i="10" s="1"/>
  <c r="F2" i="10" s="1"/>
  <c r="H9" i="10"/>
  <c r="H8" i="10"/>
  <c r="H7" i="10"/>
  <c r="H6" i="10"/>
  <c r="C3" i="9"/>
  <c r="H22" i="9"/>
  <c r="H21" i="9"/>
  <c r="H20" i="9"/>
  <c r="H19" i="9"/>
  <c r="H18" i="9"/>
  <c r="H17" i="9"/>
  <c r="H16" i="9"/>
  <c r="H15" i="9"/>
  <c r="H14" i="9"/>
  <c r="G10" i="9"/>
  <c r="F10" i="9"/>
  <c r="E10" i="9"/>
  <c r="D10" i="9"/>
  <c r="C10" i="9"/>
  <c r="H10" i="9" s="1"/>
  <c r="C2" i="9" s="1"/>
  <c r="F2" i="9" s="1"/>
  <c r="H9" i="9"/>
  <c r="H8" i="9"/>
  <c r="H7" i="9"/>
  <c r="H6" i="9"/>
  <c r="H22" i="8"/>
  <c r="H21" i="8"/>
  <c r="H20" i="8"/>
  <c r="H19" i="8"/>
  <c r="H18" i="8"/>
  <c r="H17" i="8"/>
  <c r="H16" i="8"/>
  <c r="H15" i="8"/>
  <c r="H14" i="8"/>
  <c r="G10" i="8"/>
  <c r="F10" i="8"/>
  <c r="E10" i="8"/>
  <c r="D10" i="8"/>
  <c r="C10" i="8"/>
  <c r="H10" i="8" s="1"/>
  <c r="C2" i="8" s="1"/>
  <c r="H9" i="8"/>
  <c r="H8" i="8"/>
  <c r="H7" i="8"/>
  <c r="H6" i="8"/>
  <c r="C3" i="7"/>
  <c r="H22" i="7"/>
  <c r="H21" i="7"/>
  <c r="H20" i="7"/>
  <c r="H19" i="7"/>
  <c r="H18" i="7"/>
  <c r="H17" i="7"/>
  <c r="H16" i="7"/>
  <c r="H15" i="7"/>
  <c r="H14" i="7"/>
  <c r="G10" i="7"/>
  <c r="F10" i="7"/>
  <c r="E10" i="7"/>
  <c r="D10" i="7"/>
  <c r="C10" i="7"/>
  <c r="H10" i="7" s="1"/>
  <c r="C2" i="7" s="1"/>
  <c r="H9" i="7"/>
  <c r="H8" i="7"/>
  <c r="H7" i="7"/>
  <c r="H6" i="7"/>
  <c r="C3" i="6"/>
  <c r="H22" i="6"/>
  <c r="H21" i="6"/>
  <c r="H20" i="6"/>
  <c r="H19" i="6"/>
  <c r="H18" i="6"/>
  <c r="H17" i="6"/>
  <c r="H16" i="6"/>
  <c r="H15" i="6"/>
  <c r="H14" i="6"/>
  <c r="G10" i="6"/>
  <c r="F10" i="6"/>
  <c r="E10" i="6"/>
  <c r="D10" i="6"/>
  <c r="C10" i="6"/>
  <c r="H10" i="6" s="1"/>
  <c r="C2" i="6" s="1"/>
  <c r="F2" i="6" s="1"/>
  <c r="H9" i="6"/>
  <c r="H8" i="6"/>
  <c r="H7" i="6"/>
  <c r="H6" i="6"/>
  <c r="C3" i="5"/>
  <c r="H22" i="5"/>
  <c r="H21" i="5"/>
  <c r="H20" i="5"/>
  <c r="H19" i="5"/>
  <c r="H18" i="5"/>
  <c r="H17" i="5"/>
  <c r="H16" i="5"/>
  <c r="H15" i="5"/>
  <c r="H14" i="5"/>
  <c r="G10" i="5"/>
  <c r="F10" i="5"/>
  <c r="E10" i="5"/>
  <c r="D10" i="5"/>
  <c r="C10" i="5"/>
  <c r="H10" i="5" s="1"/>
  <c r="C2" i="5" s="1"/>
  <c r="F2" i="5" s="1"/>
  <c r="H9" i="5"/>
  <c r="H8" i="5"/>
  <c r="H7" i="5"/>
  <c r="H6" i="5"/>
  <c r="F23" i="4"/>
  <c r="E23" i="4"/>
  <c r="D23" i="4"/>
  <c r="C23" i="4"/>
  <c r="H22" i="4"/>
  <c r="H21" i="4"/>
  <c r="H20" i="4"/>
  <c r="H19" i="4"/>
  <c r="H18" i="4"/>
  <c r="H17" i="4"/>
  <c r="H16" i="4"/>
  <c r="H15" i="4"/>
  <c r="H14" i="4"/>
  <c r="H8" i="4"/>
  <c r="H7" i="4"/>
  <c r="H6" i="4"/>
  <c r="H22" i="3"/>
  <c r="H21" i="3"/>
  <c r="H20" i="3"/>
  <c r="H19" i="3"/>
  <c r="H18" i="3"/>
  <c r="H17" i="3"/>
  <c r="H16" i="3"/>
  <c r="H15" i="3"/>
  <c r="H14" i="3"/>
  <c r="G10" i="3"/>
  <c r="F10" i="3"/>
  <c r="E10" i="3"/>
  <c r="D10" i="3"/>
  <c r="C10" i="3"/>
  <c r="H10" i="3" s="1"/>
  <c r="C2" i="3" s="1"/>
  <c r="H8" i="3"/>
  <c r="H7" i="3"/>
  <c r="H6" i="3"/>
  <c r="H21" i="1"/>
  <c r="H20" i="1"/>
  <c r="H19" i="1"/>
  <c r="H18" i="1"/>
  <c r="H17" i="1"/>
  <c r="H16" i="1"/>
  <c r="H15" i="1"/>
  <c r="H14" i="1"/>
  <c r="G10" i="1"/>
  <c r="F10" i="1"/>
  <c r="E10" i="1"/>
  <c r="D10" i="1"/>
  <c r="C10" i="1"/>
  <c r="H9" i="1"/>
  <c r="H6" i="1"/>
  <c r="H8" i="1"/>
  <c r="H7" i="1"/>
  <c r="C3" i="8" l="1"/>
  <c r="F2" i="8" s="1"/>
  <c r="H23" i="4"/>
  <c r="C3" i="4" s="1"/>
  <c r="F2" i="11"/>
  <c r="F2" i="7"/>
  <c r="F2" i="3"/>
  <c r="H10" i="1"/>
  <c r="C2" i="1" s="1"/>
  <c r="F2" i="1" l="1"/>
  <c r="H10" i="4"/>
  <c r="C2" i="4" s="1"/>
  <c r="F2" i="4" s="1"/>
</calcChain>
</file>

<file path=xl/sharedStrings.xml><?xml version="1.0" encoding="utf-8"?>
<sst xmlns="http://schemas.openxmlformats.org/spreadsheetml/2006/main" count="360" uniqueCount="26">
  <si>
    <t>Total Income</t>
  </si>
  <si>
    <t>Monthly Savings</t>
  </si>
  <si>
    <t>Total Expenses</t>
  </si>
  <si>
    <t>Income</t>
  </si>
  <si>
    <t>Week 1</t>
  </si>
  <si>
    <t>Week 2</t>
  </si>
  <si>
    <t>Week 3</t>
  </si>
  <si>
    <t>Week 4</t>
  </si>
  <si>
    <t xml:space="preserve"> Week 5</t>
  </si>
  <si>
    <t>Total</t>
  </si>
  <si>
    <t>Paycheck</t>
  </si>
  <si>
    <t>Restaurant Card</t>
  </si>
  <si>
    <t>Social Media</t>
  </si>
  <si>
    <t>Other</t>
  </si>
  <si>
    <t>Expenses</t>
  </si>
  <si>
    <t xml:space="preserve">Week 2 </t>
  </si>
  <si>
    <t>Week 5</t>
  </si>
  <si>
    <t>Rent</t>
  </si>
  <si>
    <t>Clothes</t>
  </si>
  <si>
    <t>Food</t>
  </si>
  <si>
    <t>Taxi</t>
  </si>
  <si>
    <t>Pet</t>
  </si>
  <si>
    <t>Cosmetics</t>
  </si>
  <si>
    <t>Health</t>
  </si>
  <si>
    <t>Partying</t>
  </si>
  <si>
    <t>Car/Driving Lincence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</si>
</sst>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1" xfId="0" applyFill="1" applyBorder="1"/>
    <xf numFmtId="0" fontId="0" fillId="6" borderId="1" xfId="0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3"/>
  <sheetViews>
    <sheetView workbookViewId="0">
      <selection activeCell="C7" sqref="C7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1672.5</v>
      </c>
      <c r="E2" s="1" t="s">
        <v>1</v>
      </c>
      <c r="F2" s="3">
        <f>C2-C3</f>
        <v>-44.700000000000045</v>
      </c>
    </row>
    <row r="3" spans="2:8">
      <c r="B3" s="2" t="s">
        <v>2</v>
      </c>
      <c r="C3" s="3">
        <f>H23</f>
        <v>1717.2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</v>
      </c>
      <c r="D6" s="5"/>
      <c r="E6" s="5"/>
      <c r="F6" s="5"/>
      <c r="G6" s="5"/>
      <c r="H6" s="6">
        <f>C6+D6+E6+F6+G6</f>
        <v>1500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1602.5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1672.5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900</v>
      </c>
      <c r="D14" s="10">
        <v>30</v>
      </c>
      <c r="E14" s="10"/>
      <c r="F14" s="10">
        <v>30</v>
      </c>
      <c r="G14" s="10"/>
      <c r="H14" s="11">
        <f t="shared" ref="H14:H22" si="0">C14+D14+E14+F14+G14</f>
        <v>960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50</v>
      </c>
      <c r="D19" s="10"/>
      <c r="E19" s="10">
        <v>26.9</v>
      </c>
      <c r="F19" s="10"/>
      <c r="G19" s="10"/>
      <c r="H19" s="11">
        <f t="shared" si="0"/>
        <v>76.900000000000006</v>
      </c>
    </row>
    <row r="20" spans="2:8">
      <c r="B20" s="9" t="s">
        <v>23</v>
      </c>
      <c r="C20" s="10">
        <v>180</v>
      </c>
      <c r="D20" s="10"/>
      <c r="E20" s="10"/>
      <c r="F20" s="10"/>
      <c r="G20" s="10"/>
      <c r="H20" s="11">
        <f t="shared" si="0"/>
        <v>180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200</v>
      </c>
      <c r="E22" s="10">
        <v>70</v>
      </c>
      <c r="F22" s="10"/>
      <c r="G22" s="10"/>
      <c r="H22" s="11">
        <f t="shared" si="0"/>
        <v>270</v>
      </c>
    </row>
    <row r="23" spans="2:8">
      <c r="C23" s="11">
        <f>C14+C15+C16+C17+C18+C19+C20+C21+C22</f>
        <v>1160</v>
      </c>
      <c r="D23" s="11">
        <f>D14+D15+D16+D17+D18+D19+D20+D21+D22</f>
        <v>297.8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>C23+D23+E23+F23+G23</f>
        <v>1717.2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01FF-E445-4DAA-927F-7C43171B1260}">
  <dimension ref="B2:H23"/>
  <sheetViews>
    <sheetView workbookViewId="0">
      <selection activeCell="C6" sqref="C6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1672.95</v>
      </c>
      <c r="E2" s="1" t="s">
        <v>1</v>
      </c>
      <c r="F2" s="3">
        <f>C2-C3</f>
        <v>1323.8000000000002</v>
      </c>
    </row>
    <row r="3" spans="2:8">
      <c r="B3" s="2" t="s">
        <v>2</v>
      </c>
      <c r="C3" s="3">
        <f>H23</f>
        <v>349.15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1500.45</v>
      </c>
      <c r="D6" s="5"/>
      <c r="E6" s="5"/>
      <c r="F6" s="5"/>
      <c r="G6" s="5"/>
      <c r="H6" s="6">
        <f>C6+D6+E6+F6+G6</f>
        <v>1500.45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5.6</v>
      </c>
      <c r="D14" s="10">
        <v>30</v>
      </c>
      <c r="E14" s="10"/>
      <c r="F14" s="10">
        <v>30</v>
      </c>
      <c r="G14" s="10"/>
      <c r="H14" s="11">
        <f t="shared" ref="H14:H22" si="0">C14+D14+E14+F14+G14</f>
        <v>65.599999999999994</v>
      </c>
    </row>
    <row r="15" spans="2:8">
      <c r="B15" s="9" t="s">
        <v>18</v>
      </c>
      <c r="C15" s="10"/>
      <c r="D15" s="10">
        <v>3.4</v>
      </c>
      <c r="E15" s="10">
        <v>12</v>
      </c>
      <c r="F15" s="10"/>
      <c r="G15" s="10">
        <v>15</v>
      </c>
      <c r="H15" s="11">
        <f t="shared" si="0"/>
        <v>30.4</v>
      </c>
    </row>
    <row r="16" spans="2:8">
      <c r="B16" s="9" t="s">
        <v>19</v>
      </c>
      <c r="C16" s="10">
        <v>12.05</v>
      </c>
      <c r="D16" s="10">
        <v>60</v>
      </c>
      <c r="E16" s="10"/>
      <c r="F16" s="10">
        <v>55</v>
      </c>
      <c r="G16" s="10">
        <v>10</v>
      </c>
      <c r="H16" s="11">
        <f t="shared" si="0"/>
        <v>137.05000000000001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10.9</v>
      </c>
      <c r="D19" s="10"/>
      <c r="E19" s="10">
        <v>26.9</v>
      </c>
      <c r="F19" s="10"/>
      <c r="G19" s="10"/>
      <c r="H19" s="11">
        <f t="shared" si="0"/>
        <v>37.799999999999997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58.55</v>
      </c>
      <c r="D23" s="11">
        <f>D14+D15+D16+D17+D18+D19+D20+D21+D22</f>
        <v>101.2</v>
      </c>
      <c r="E23" s="11">
        <f>E14+E15+E16+E17+E18+E19+E20+E21+E22</f>
        <v>43.2</v>
      </c>
      <c r="F23" s="11">
        <f>F14+F15+F16+F17+F18+F19+F20+F21+F22</f>
        <v>102.95</v>
      </c>
      <c r="G23" s="11">
        <f>G14+G15+G16+G17+G18+G19+G20+G21+G22</f>
        <v>43.25</v>
      </c>
      <c r="H23" s="11">
        <f>C23+D23+E23+F23+G23</f>
        <v>349.15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B59F-CB68-4FF4-A2AA-1FCC15404C8D}">
  <dimension ref="B2:H23"/>
  <sheetViews>
    <sheetView tabSelected="1" workbookViewId="0">
      <selection activeCell="B13" sqref="B13:H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1690.95</v>
      </c>
      <c r="E2" s="1" t="s">
        <v>1</v>
      </c>
      <c r="F2" s="3">
        <f>C2-C3</f>
        <v>76.529999999999973</v>
      </c>
    </row>
    <row r="3" spans="2:8">
      <c r="B3" s="2" t="s">
        <v>2</v>
      </c>
      <c r="C3" s="3">
        <f>H23</f>
        <v>1614.42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1500.45</v>
      </c>
      <c r="D6" s="5"/>
      <c r="E6" s="5"/>
      <c r="F6" s="5"/>
      <c r="G6" s="5"/>
      <c r="H6" s="6">
        <f>C6+D6+E6+F6+G6</f>
        <v>1500.45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6</v>
      </c>
      <c r="E8" s="5">
        <v>45</v>
      </c>
      <c r="F8" s="5">
        <v>12</v>
      </c>
      <c r="G8" s="5"/>
      <c r="H8" s="6">
        <f>C8+D8+E8+F8+G8</f>
        <v>63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1602.95</v>
      </c>
      <c r="D10" s="6">
        <f>D6+D7+D8+D9</f>
        <v>6</v>
      </c>
      <c r="E10" s="6">
        <f>E6+E7+E8+E9</f>
        <v>55</v>
      </c>
      <c r="F10" s="6">
        <f>F6+F7+F8+F9</f>
        <v>12</v>
      </c>
      <c r="G10" s="6">
        <f>G6+G7+G8+G9</f>
        <v>15</v>
      </c>
      <c r="H10" s="6">
        <f>C10+D10+E10+F10+G10</f>
        <v>1690.95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>
        <v>600</v>
      </c>
      <c r="H14" s="11">
        <f t="shared" ref="H14:H22" si="0">C14+D14+E14+F14+G14</f>
        <v>660</v>
      </c>
    </row>
    <row r="15" spans="2:8">
      <c r="B15" s="9" t="s">
        <v>18</v>
      </c>
      <c r="C15" s="10"/>
      <c r="D15" s="10">
        <v>155</v>
      </c>
      <c r="E15" s="10">
        <v>12</v>
      </c>
      <c r="F15" s="10"/>
      <c r="G15" s="10">
        <v>15</v>
      </c>
      <c r="H15" s="11">
        <f t="shared" si="0"/>
        <v>182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>
        <v>500</v>
      </c>
      <c r="F20" s="10"/>
      <c r="G20" s="10">
        <v>22.22</v>
      </c>
      <c r="H20" s="11">
        <f t="shared" si="0"/>
        <v>522.22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>
        <v>20</v>
      </c>
      <c r="G22" s="10"/>
      <c r="H22" s="11">
        <f t="shared" si="0"/>
        <v>20</v>
      </c>
    </row>
    <row r="23" spans="2:8">
      <c r="C23" s="11">
        <f>C14+C15+C16+C17+C18+C19+C20+C21+C22</f>
        <v>30</v>
      </c>
      <c r="D23" s="11">
        <f>D14+D15+D16+D17+D18+D19+D20+D21+D22</f>
        <v>252.8</v>
      </c>
      <c r="E23" s="11">
        <f>E14+E15+E16+E17+E18+E19+E20+E21+E22</f>
        <v>543.20000000000005</v>
      </c>
      <c r="F23" s="11">
        <f>F14+F15+F16+F17+F18+F19+F20+F21+F22</f>
        <v>122.95</v>
      </c>
      <c r="G23" s="11">
        <f>G14+G15+G16+G17+G18+G19+G20+G21+G22</f>
        <v>665.47</v>
      </c>
      <c r="H23" s="11">
        <f>C23+D23+E23+F23+G23</f>
        <v>1614.42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2A44-0A51-4AAD-AB21-851D733046D9}">
  <dimension ref="B2:H23"/>
  <sheetViews>
    <sheetView workbookViewId="0">
      <selection activeCell="D23" sqref="D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1672.95</v>
      </c>
      <c r="E2" s="1" t="s">
        <v>1</v>
      </c>
      <c r="F2" s="3">
        <f>C2-C3</f>
        <v>-92.25</v>
      </c>
    </row>
    <row r="3" spans="2:8">
      <c r="B3" s="2" t="s">
        <v>2</v>
      </c>
      <c r="C3" s="3">
        <f>H23</f>
        <v>1765.2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1500.45</v>
      </c>
      <c r="D6" s="5"/>
      <c r="E6" s="5"/>
      <c r="F6" s="5"/>
      <c r="G6" s="5"/>
      <c r="H6" s="6">
        <f>C6+D6+E6+F6+G6</f>
        <v>1500.45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900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960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>
        <v>178</v>
      </c>
      <c r="D16" s="10">
        <v>60</v>
      </c>
      <c r="E16" s="10"/>
      <c r="F16" s="10">
        <v>55</v>
      </c>
      <c r="G16" s="10">
        <v>10</v>
      </c>
      <c r="H16" s="11">
        <f t="shared" si="0"/>
        <v>303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50</v>
      </c>
      <c r="D19" s="10"/>
      <c r="E19" s="10">
        <v>26.9</v>
      </c>
      <c r="F19" s="10"/>
      <c r="G19" s="10"/>
      <c r="H19" s="11">
        <f t="shared" si="0"/>
        <v>76.900000000000006</v>
      </c>
    </row>
    <row r="20" spans="2:8">
      <c r="B20" s="9" t="s">
        <v>23</v>
      </c>
      <c r="C20" s="10">
        <v>180</v>
      </c>
      <c r="D20" s="10"/>
      <c r="E20" s="10"/>
      <c r="F20" s="10"/>
      <c r="G20" s="10"/>
      <c r="H20" s="11">
        <f t="shared" si="0"/>
        <v>180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70</v>
      </c>
      <c r="E22" s="10">
        <v>70</v>
      </c>
      <c r="F22" s="10"/>
      <c r="G22" s="10"/>
      <c r="H22" s="11">
        <f t="shared" si="0"/>
        <v>140</v>
      </c>
    </row>
    <row r="23" spans="2:8">
      <c r="C23" s="11">
        <f>C14+C15+C16+C17+C18+C19+C20+C21+C22</f>
        <v>1338</v>
      </c>
      <c r="D23" s="11">
        <f>D14+D15+D16+D17+D18+D19+D20+D21+D22</f>
        <v>167.8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1765.2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48D1-12DC-455D-B726-E4754DA9F91E}">
  <dimension ref="B2:H23"/>
  <sheetViews>
    <sheetView workbookViewId="0">
      <selection activeCell="C6" sqref="C6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1672.95</v>
      </c>
      <c r="E2" s="1" t="s">
        <v>1</v>
      </c>
      <c r="F2" s="3">
        <f>C2-C3</f>
        <v>1323.8000000000002</v>
      </c>
    </row>
    <row r="3" spans="2:8">
      <c r="B3" s="2" t="s">
        <v>2</v>
      </c>
      <c r="C3" s="3">
        <f>H23</f>
        <v>349.15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1500.45</v>
      </c>
      <c r="D6" s="5"/>
      <c r="E6" s="5"/>
      <c r="F6" s="5"/>
      <c r="G6" s="5"/>
      <c r="H6" s="6">
        <f>C6+D6+E6+F6+G6</f>
        <v>1500.45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1602.95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1672.95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5.6</v>
      </c>
      <c r="D14" s="10">
        <v>30</v>
      </c>
      <c r="E14" s="10"/>
      <c r="F14" s="10">
        <v>30</v>
      </c>
      <c r="G14" s="10"/>
      <c r="H14" s="11">
        <f t="shared" ref="H14:H23" si="0">C14+D14+E14+F14+G14</f>
        <v>65.599999999999994</v>
      </c>
    </row>
    <row r="15" spans="2:8">
      <c r="B15" s="9" t="s">
        <v>18</v>
      </c>
      <c r="C15" s="10"/>
      <c r="D15" s="10">
        <v>3.4</v>
      </c>
      <c r="E15" s="10">
        <v>12</v>
      </c>
      <c r="F15" s="10"/>
      <c r="G15" s="10">
        <v>15</v>
      </c>
      <c r="H15" s="11">
        <f t="shared" si="0"/>
        <v>30.4</v>
      </c>
    </row>
    <row r="16" spans="2:8">
      <c r="B16" s="9" t="s">
        <v>19</v>
      </c>
      <c r="C16" s="10">
        <v>12.05</v>
      </c>
      <c r="D16" s="10">
        <v>60</v>
      </c>
      <c r="E16" s="10"/>
      <c r="F16" s="10">
        <v>55</v>
      </c>
      <c r="G16" s="10">
        <v>10</v>
      </c>
      <c r="H16" s="11">
        <f t="shared" si="0"/>
        <v>137.05000000000001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10.9</v>
      </c>
      <c r="D19" s="10"/>
      <c r="E19" s="10">
        <v>26.9</v>
      </c>
      <c r="F19" s="10"/>
      <c r="G19" s="10"/>
      <c r="H19" s="11">
        <f t="shared" si="0"/>
        <v>37.799999999999997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58.55</v>
      </c>
      <c r="D23" s="11">
        <f>D14+D15+D16+D17+D18+D19+D20+D21+D22</f>
        <v>101.2</v>
      </c>
      <c r="E23" s="11">
        <f>E14+E15+E16+E17+E18+E19+E20+E21+E22</f>
        <v>43.2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349.15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5A0B-307B-4027-8B50-B26A082623ED}">
  <dimension ref="B2:H23"/>
  <sheetViews>
    <sheetView workbookViewId="0">
      <selection activeCell="C23" sqref="C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3172.65</v>
      </c>
      <c r="E2" s="1" t="s">
        <v>1</v>
      </c>
      <c r="F2" s="3">
        <f>C2-C3</f>
        <v>2410.4499999999998</v>
      </c>
    </row>
    <row r="3" spans="2:8">
      <c r="B3" s="2" t="s">
        <v>2</v>
      </c>
      <c r="C3" s="3">
        <f>H23</f>
        <v>762.2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3000.15</v>
      </c>
      <c r="D6" s="5"/>
      <c r="E6" s="5"/>
      <c r="F6" s="5"/>
      <c r="G6" s="5"/>
      <c r="H6" s="6">
        <f>C6+D6+E6+F6+G6</f>
        <v>3000.15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3102.65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3172.65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>
        <v>50</v>
      </c>
      <c r="F21" s="10">
        <v>9</v>
      </c>
      <c r="G21" s="10">
        <v>9</v>
      </c>
      <c r="H21" s="11">
        <f t="shared" si="0"/>
        <v>83.4</v>
      </c>
    </row>
    <row r="22" spans="2:8">
      <c r="B22" s="9" t="s">
        <v>25</v>
      </c>
      <c r="C22" s="10">
        <v>125</v>
      </c>
      <c r="D22" s="10">
        <v>200</v>
      </c>
      <c r="E22" s="10">
        <v>70</v>
      </c>
      <c r="F22" s="10"/>
      <c r="G22" s="10"/>
      <c r="H22" s="11">
        <f t="shared" si="0"/>
        <v>395</v>
      </c>
    </row>
    <row r="23" spans="2:8">
      <c r="C23" s="11">
        <f>C14+C15+C16+C17+C18+C19+C20+C21+C22</f>
        <v>155</v>
      </c>
      <c r="D23" s="11">
        <f>D14+D15+D16+D17+D18+D19+D20+D21+D22</f>
        <v>297.8</v>
      </c>
      <c r="E23" s="11">
        <f>E14+E15+E16+E17+E18+E19+E20+E21+E22</f>
        <v>163.19999999999999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762.2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2C51-C03F-43AF-89FF-2C354C04231F}">
  <dimension ref="B2:H23"/>
  <sheetViews>
    <sheetView workbookViewId="0">
      <selection activeCell="C23" sqref="C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1873.1</v>
      </c>
      <c r="E2" s="1" t="s">
        <v>1</v>
      </c>
      <c r="F2" s="3">
        <f>C2-C3</f>
        <v>146.89999999999986</v>
      </c>
    </row>
    <row r="3" spans="2:8">
      <c r="B3" s="2" t="s">
        <v>2</v>
      </c>
      <c r="C3" s="3">
        <f>H23</f>
        <v>1726.2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1700.6</v>
      </c>
      <c r="D6" s="5"/>
      <c r="E6" s="5"/>
      <c r="F6" s="5"/>
      <c r="G6" s="5"/>
      <c r="H6" s="6">
        <f>C6+D6+E6+F6+G6</f>
        <v>1700.6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1803.1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1873.1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270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330</v>
      </c>
    </row>
    <row r="15" spans="2:8">
      <c r="B15" s="9" t="s">
        <v>18</v>
      </c>
      <c r="C15" s="10">
        <v>80</v>
      </c>
      <c r="D15" s="10">
        <v>80</v>
      </c>
      <c r="E15" s="10">
        <v>40</v>
      </c>
      <c r="F15" s="10">
        <v>110</v>
      </c>
      <c r="G15" s="10">
        <v>160</v>
      </c>
      <c r="H15" s="11">
        <f t="shared" si="0"/>
        <v>470</v>
      </c>
    </row>
    <row r="16" spans="2:8">
      <c r="B16" s="9" t="s">
        <v>19</v>
      </c>
      <c r="C16" s="10">
        <v>90</v>
      </c>
      <c r="D16" s="10">
        <v>60</v>
      </c>
      <c r="E16" s="10">
        <v>40</v>
      </c>
      <c r="F16" s="10">
        <v>55</v>
      </c>
      <c r="G16" s="10">
        <v>10</v>
      </c>
      <c r="H16" s="11">
        <f t="shared" si="0"/>
        <v>255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>
        <v>80</v>
      </c>
      <c r="D19" s="10"/>
      <c r="E19" s="10">
        <v>26.9</v>
      </c>
      <c r="F19" s="10"/>
      <c r="G19" s="10"/>
      <c r="H19" s="11">
        <f t="shared" si="0"/>
        <v>106.9</v>
      </c>
    </row>
    <row r="20" spans="2:8">
      <c r="B20" s="9" t="s">
        <v>23</v>
      </c>
      <c r="C20" s="10"/>
      <c r="D20" s="10"/>
      <c r="E20" s="10">
        <v>100</v>
      </c>
      <c r="F20" s="10"/>
      <c r="G20" s="10"/>
      <c r="H20" s="11">
        <f t="shared" si="0"/>
        <v>100</v>
      </c>
    </row>
    <row r="21" spans="2:8">
      <c r="B21" s="9" t="s">
        <v>24</v>
      </c>
      <c r="C21" s="10">
        <v>15.4</v>
      </c>
      <c r="D21" s="10"/>
      <c r="E21" s="10">
        <v>55</v>
      </c>
      <c r="F21" s="10">
        <v>9</v>
      </c>
      <c r="G21" s="10">
        <v>120</v>
      </c>
      <c r="H21" s="11">
        <f t="shared" si="0"/>
        <v>199.4</v>
      </c>
    </row>
    <row r="22" spans="2:8">
      <c r="B22" s="9" t="s">
        <v>25</v>
      </c>
      <c r="C22" s="10">
        <v>150</v>
      </c>
      <c r="D22" s="10"/>
      <c r="E22" s="10">
        <v>70</v>
      </c>
      <c r="F22" s="10"/>
      <c r="G22" s="10"/>
      <c r="H22" s="11">
        <f t="shared" si="0"/>
        <v>220</v>
      </c>
    </row>
    <row r="23" spans="2:8">
      <c r="C23" s="11">
        <f>C14+C15+C16+C17+C18+C19+C20+C21+C22</f>
        <v>700</v>
      </c>
      <c r="D23" s="11">
        <f>D14+D15+D16+D17+D18+D19+D20+D21+D22</f>
        <v>177.8</v>
      </c>
      <c r="E23" s="11">
        <f>E14+E15+E16+E17+E18+E19+E20+E21+E22</f>
        <v>336.2</v>
      </c>
      <c r="F23" s="11">
        <f>F14+F15+F16+F17+F18+F19+F20+F21+F22</f>
        <v>212.95</v>
      </c>
      <c r="G23" s="11">
        <f>G14+G15+G16+G17+G18+G19+G20+G21+G22</f>
        <v>299.25</v>
      </c>
      <c r="H23" s="11">
        <f t="shared" si="0"/>
        <v>1726.2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96B0-8229-4122-8053-46C356673413}">
  <dimension ref="B2:H23"/>
  <sheetViews>
    <sheetView workbookViewId="0">
      <selection activeCell="D23" sqref="D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1795.1</v>
      </c>
      <c r="E2" s="1" t="s">
        <v>1</v>
      </c>
      <c r="F2" s="3">
        <f>C2-C3</f>
        <v>1032.8999999999999</v>
      </c>
    </row>
    <row r="3" spans="2:8">
      <c r="B3" s="2" t="s">
        <v>2</v>
      </c>
      <c r="C3" s="3">
        <f>H23</f>
        <v>762.2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1500.6</v>
      </c>
      <c r="D6" s="5"/>
      <c r="E6" s="5"/>
      <c r="F6" s="5"/>
      <c r="G6" s="5"/>
      <c r="H6" s="6">
        <f>C6+D6+E6+F6+G6</f>
        <v>1500.6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40</v>
      </c>
      <c r="E8" s="5">
        <v>45</v>
      </c>
      <c r="F8" s="5"/>
      <c r="G8" s="5">
        <v>60</v>
      </c>
      <c r="H8" s="6">
        <f>C8+D8+E8+F8+G8</f>
        <v>145</v>
      </c>
    </row>
    <row r="9" spans="2:8">
      <c r="B9" s="4" t="s">
        <v>13</v>
      </c>
      <c r="C9" s="5">
        <v>22</v>
      </c>
      <c r="D9" s="5"/>
      <c r="E9" s="5">
        <v>10</v>
      </c>
      <c r="F9" s="5"/>
      <c r="G9" s="5">
        <v>15</v>
      </c>
      <c r="H9" s="6">
        <f>C9+D9+E9+F9+G9</f>
        <v>47</v>
      </c>
    </row>
    <row r="10" spans="2:8">
      <c r="C10" s="6">
        <f>C6+C7+C8+C9</f>
        <v>1625.1</v>
      </c>
      <c r="D10" s="6">
        <f>D6+D7+D8+D9</f>
        <v>40</v>
      </c>
      <c r="E10" s="6">
        <f>E6+E7+E8+E9</f>
        <v>55</v>
      </c>
      <c r="F10" s="6">
        <f>F6+F7+F8+F9</f>
        <v>0</v>
      </c>
      <c r="G10" s="6">
        <f>G6+G7+G8+G9</f>
        <v>75</v>
      </c>
      <c r="H10" s="6">
        <f>C10+D10+E10+F10+G10</f>
        <v>1795.1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>
        <v>200</v>
      </c>
      <c r="D16" s="10">
        <v>60</v>
      </c>
      <c r="E16" s="10"/>
      <c r="F16" s="10">
        <v>55</v>
      </c>
      <c r="G16" s="10">
        <v>10</v>
      </c>
      <c r="H16" s="11">
        <f t="shared" si="0"/>
        <v>325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>
        <v>45</v>
      </c>
      <c r="D20" s="10"/>
      <c r="E20" s="10"/>
      <c r="F20" s="10"/>
      <c r="G20" s="10"/>
      <c r="H20" s="11">
        <f t="shared" si="0"/>
        <v>45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130</v>
      </c>
      <c r="E22" s="10">
        <v>70</v>
      </c>
      <c r="F22" s="10"/>
      <c r="G22" s="10"/>
      <c r="H22" s="11">
        <f t="shared" si="0"/>
        <v>200</v>
      </c>
    </row>
    <row r="23" spans="2:8">
      <c r="C23" s="11">
        <f>C14+C15+C16+C17+C18+C19+C20+C21+C22</f>
        <v>275</v>
      </c>
      <c r="D23" s="11">
        <f>D14+D15+D16+D17+D18+D19+D20+D21+D22</f>
        <v>227.8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762.2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53FD-D76E-4033-AD2E-1D9F4A558940}">
  <dimension ref="B2:H23"/>
  <sheetViews>
    <sheetView workbookViewId="0">
      <selection activeCell="D23" sqref="D23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1603.1</v>
      </c>
      <c r="E2" s="1" t="s">
        <v>1</v>
      </c>
      <c r="F2" s="3">
        <f>C2-C3</f>
        <v>1085.8999999999999</v>
      </c>
    </row>
    <row r="3" spans="2:8">
      <c r="B3" s="2" t="s">
        <v>2</v>
      </c>
      <c r="C3" s="3">
        <f>H23</f>
        <v>517.20000000000005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1500.6</v>
      </c>
      <c r="D6" s="5"/>
      <c r="E6" s="5"/>
      <c r="F6" s="5"/>
      <c r="G6" s="5"/>
      <c r="H6" s="6">
        <f>C6+D6+E6+F6+G6</f>
        <v>1500.6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/>
      <c r="F8" s="5"/>
      <c r="G8" s="5"/>
      <c r="H8" s="6">
        <f>C8+D8+E8+F8+G8</f>
        <v>0</v>
      </c>
    </row>
    <row r="9" spans="2:8">
      <c r="B9" s="4" t="s">
        <v>13</v>
      </c>
      <c r="C9" s="5"/>
      <c r="D9" s="5"/>
      <c r="E9" s="5"/>
      <c r="F9" s="5"/>
      <c r="G9" s="5"/>
      <c r="H9" s="6">
        <f>C9+D9+E9+F9+G9</f>
        <v>0</v>
      </c>
    </row>
    <row r="10" spans="2:8">
      <c r="C10" s="6">
        <f>C6+C7+C8+C9</f>
        <v>1603.1</v>
      </c>
      <c r="D10" s="6">
        <f>D6+D7+D8+D9</f>
        <v>0</v>
      </c>
      <c r="E10" s="6">
        <f>E6+E7+E8+E9</f>
        <v>0</v>
      </c>
      <c r="F10" s="6">
        <f>F6+F7+F8+F9</f>
        <v>0</v>
      </c>
      <c r="G10" s="6">
        <f>G6+G7+G8+G9</f>
        <v>0</v>
      </c>
      <c r="H10" s="6">
        <f>C10+D10+E10+F10+G10</f>
        <v>1603.1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/>
      <c r="D14" s="10">
        <v>30</v>
      </c>
      <c r="E14" s="10"/>
      <c r="F14" s="10">
        <v>30</v>
      </c>
      <c r="G14" s="10"/>
      <c r="H14" s="11">
        <f t="shared" ref="H14:H23" si="0">C14+D14+E14+F14+G14</f>
        <v>60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/>
      <c r="E20" s="10"/>
      <c r="F20" s="10"/>
      <c r="G20" s="10"/>
      <c r="H20" s="11">
        <f t="shared" si="0"/>
        <v>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>
        <v>130</v>
      </c>
      <c r="E22" s="10">
        <v>70</v>
      </c>
      <c r="F22" s="10"/>
      <c r="G22" s="10"/>
      <c r="H22" s="11">
        <f t="shared" si="0"/>
        <v>200</v>
      </c>
    </row>
    <row r="23" spans="2:8">
      <c r="C23" s="11">
        <f>C14+C15+C16+C17+C18+C19+C20+C21+C22</f>
        <v>30</v>
      </c>
      <c r="D23" s="11">
        <f>D14+D15+D16+D17+D18+D19+D20+D21+D22</f>
        <v>227.8</v>
      </c>
      <c r="E23" s="11">
        <f>E14+E15+E16+E17+E18+E19+E20+E21+E22</f>
        <v>113.2</v>
      </c>
      <c r="F23" s="11">
        <f>F14+F15+F16+F17+F18+F19+F20+F21+F22</f>
        <v>102.95</v>
      </c>
      <c r="G23" s="11">
        <f>G14+G15+G16+G17+G18+G19+G20+G21+G22</f>
        <v>43.25</v>
      </c>
      <c r="H23" s="11">
        <f t="shared" si="0"/>
        <v>517.20000000000005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82FA-DDB4-4B3D-AA54-1F179A32F868}">
  <dimension ref="B2:H23"/>
  <sheetViews>
    <sheetView workbookViewId="0">
      <selection activeCell="C16" sqref="C16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1803.1</v>
      </c>
      <c r="E2" s="1" t="s">
        <v>1</v>
      </c>
      <c r="F2" s="3">
        <f>C2-C3</f>
        <v>1206.2999999999997</v>
      </c>
    </row>
    <row r="3" spans="2:8">
      <c r="B3" s="2" t="s">
        <v>2</v>
      </c>
      <c r="C3" s="3">
        <f>H23</f>
        <v>596.80000000000007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1500.6</v>
      </c>
      <c r="D6" s="5"/>
      <c r="E6" s="5"/>
      <c r="F6" s="5"/>
      <c r="G6" s="5"/>
      <c r="H6" s="6">
        <f>C6+D6+E6+F6+G6</f>
        <v>1500.6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>
        <v>120</v>
      </c>
      <c r="D8" s="5"/>
      <c r="E8" s="5"/>
      <c r="F8" s="5">
        <v>45</v>
      </c>
      <c r="G8" s="5">
        <v>35</v>
      </c>
      <c r="H8" s="6">
        <f>C8+D8+E8+F8+G8</f>
        <v>200</v>
      </c>
    </row>
    <row r="9" spans="2:8">
      <c r="B9" s="4" t="s">
        <v>13</v>
      </c>
      <c r="C9" s="5"/>
      <c r="D9" s="5"/>
      <c r="E9" s="5"/>
      <c r="F9" s="5"/>
      <c r="G9" s="5"/>
      <c r="H9" s="6">
        <f>C9+D9+E9+F9+G9</f>
        <v>0</v>
      </c>
    </row>
    <row r="10" spans="2:8">
      <c r="C10" s="6">
        <f>C6+C7+C8+C9</f>
        <v>1723.1</v>
      </c>
      <c r="D10" s="6">
        <f>D6+D7+D8+D9</f>
        <v>0</v>
      </c>
      <c r="E10" s="6">
        <f>E6+E7+E8+E9</f>
        <v>0</v>
      </c>
      <c r="F10" s="6">
        <f>F6+F7+F8+F9</f>
        <v>45</v>
      </c>
      <c r="G10" s="6">
        <f>G6+G7+G8+G9</f>
        <v>35</v>
      </c>
      <c r="H10" s="6">
        <f>C10+D10+E10+F10+G10</f>
        <v>1803.1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100</v>
      </c>
      <c r="D14" s="10">
        <v>30</v>
      </c>
      <c r="E14" s="10"/>
      <c r="F14" s="10">
        <v>30</v>
      </c>
      <c r="G14" s="10"/>
      <c r="H14" s="11">
        <f t="shared" ref="H14:H23" si="0">C14+D14+E14+F14+G14</f>
        <v>160</v>
      </c>
    </row>
    <row r="15" spans="2:8">
      <c r="B15" s="9" t="s">
        <v>18</v>
      </c>
      <c r="C15" s="10">
        <v>80</v>
      </c>
      <c r="D15" s="10"/>
      <c r="E15" s="10">
        <v>12</v>
      </c>
      <c r="F15" s="10"/>
      <c r="G15" s="10">
        <v>15</v>
      </c>
      <c r="H15" s="11">
        <f t="shared" si="0"/>
        <v>107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75</v>
      </c>
      <c r="F18" s="10">
        <v>3.5</v>
      </c>
      <c r="G18" s="10">
        <v>9.25</v>
      </c>
      <c r="H18" s="11">
        <f t="shared" si="0"/>
        <v>102.15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12.9</v>
      </c>
      <c r="E20" s="10"/>
      <c r="F20" s="10">
        <v>16</v>
      </c>
      <c r="G20" s="10"/>
      <c r="H20" s="11">
        <f t="shared" si="0"/>
        <v>28.9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/>
      <c r="F22" s="10"/>
      <c r="G22" s="10"/>
      <c r="H22" s="11">
        <f t="shared" si="0"/>
        <v>0</v>
      </c>
    </row>
    <row r="23" spans="2:8">
      <c r="C23" s="11">
        <f>C14+C15+C16+C17+C18+C19+C20+C21+C22</f>
        <v>210</v>
      </c>
      <c r="D23" s="11">
        <f>D14+D15+D16+D17+D18+D19+D20+D21+D22</f>
        <v>110.7</v>
      </c>
      <c r="E23" s="11">
        <f>E14+E15+E16+E17+E18+E19+E20+E21+E22</f>
        <v>113.9</v>
      </c>
      <c r="F23" s="11">
        <f>F14+F15+F16+F17+F18+F19+F20+F21+F22</f>
        <v>118.95</v>
      </c>
      <c r="G23" s="11">
        <f>G14+G15+G16+G17+G18+G19+G20+G21+G22</f>
        <v>43.25</v>
      </c>
      <c r="H23" s="11">
        <f t="shared" si="0"/>
        <v>596.80000000000007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5EC6-4992-489A-8917-4244E6D3ACCE}">
  <dimension ref="B2:H23"/>
  <sheetViews>
    <sheetView workbookViewId="0">
      <selection activeCell="C17" sqref="C17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1673.1</v>
      </c>
      <c r="E2" s="1" t="s">
        <v>1</v>
      </c>
      <c r="F2" s="3">
        <f>C2-C3</f>
        <v>100.89999999999986</v>
      </c>
    </row>
    <row r="3" spans="2:8">
      <c r="B3" s="2" t="s">
        <v>2</v>
      </c>
      <c r="C3" s="3">
        <f>H23</f>
        <v>1572.2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1500.6</v>
      </c>
      <c r="D6" s="5"/>
      <c r="E6" s="5"/>
      <c r="F6" s="5"/>
      <c r="G6" s="5"/>
      <c r="H6" s="6">
        <f>C6+D6+E6+F6+G6</f>
        <v>1500.6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/>
      <c r="E8" s="5">
        <v>45</v>
      </c>
      <c r="F8" s="5"/>
      <c r="G8" s="5"/>
      <c r="H8" s="6">
        <f>C8+D8+E8+F8+G8</f>
        <v>45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1603.1</v>
      </c>
      <c r="D10" s="6">
        <f>D6+D7+D8+D9</f>
        <v>0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1673.1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10</v>
      </c>
      <c r="D14" s="10">
        <v>30</v>
      </c>
      <c r="E14" s="10">
        <v>8</v>
      </c>
      <c r="F14" s="10">
        <v>30</v>
      </c>
      <c r="G14" s="10">
        <v>35</v>
      </c>
      <c r="H14" s="11">
        <f t="shared" ref="H14:H23" si="0">C14+D14+E14+F14+G14</f>
        <v>113</v>
      </c>
    </row>
    <row r="15" spans="2:8">
      <c r="B15" s="9" t="s">
        <v>18</v>
      </c>
      <c r="C15" s="10"/>
      <c r="D15" s="10"/>
      <c r="E15" s="10">
        <v>12</v>
      </c>
      <c r="F15" s="10"/>
      <c r="G15" s="10">
        <v>15</v>
      </c>
      <c r="H15" s="11">
        <f t="shared" si="0"/>
        <v>27</v>
      </c>
    </row>
    <row r="16" spans="2:8">
      <c r="B16" s="9" t="s">
        <v>19</v>
      </c>
      <c r="C16" s="10">
        <v>12</v>
      </c>
      <c r="D16" s="10">
        <v>60</v>
      </c>
      <c r="E16" s="10"/>
      <c r="F16" s="10">
        <v>55</v>
      </c>
      <c r="G16" s="10">
        <v>10</v>
      </c>
      <c r="H16" s="11">
        <f t="shared" si="0"/>
        <v>137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740</v>
      </c>
      <c r="E20" s="10"/>
      <c r="F20" s="10"/>
      <c r="G20" s="10">
        <v>260</v>
      </c>
      <c r="H20" s="11">
        <f t="shared" si="0"/>
        <v>1000</v>
      </c>
    </row>
    <row r="21" spans="2:8">
      <c r="B21" s="9" t="s">
        <v>24</v>
      </c>
      <c r="C21" s="10">
        <v>15.4</v>
      </c>
      <c r="D21" s="10"/>
      <c r="E21" s="10">
        <v>80</v>
      </c>
      <c r="F21" s="10">
        <v>9</v>
      </c>
      <c r="G21" s="10">
        <v>9</v>
      </c>
      <c r="H21" s="11">
        <f t="shared" si="0"/>
        <v>113.4</v>
      </c>
    </row>
    <row r="22" spans="2:8">
      <c r="B22" s="9" t="s">
        <v>25</v>
      </c>
      <c r="C22" s="10"/>
      <c r="D22" s="10">
        <v>40</v>
      </c>
      <c r="E22" s="10">
        <v>70</v>
      </c>
      <c r="F22" s="10"/>
      <c r="G22" s="10"/>
      <c r="H22" s="11">
        <f t="shared" si="0"/>
        <v>110</v>
      </c>
    </row>
    <row r="23" spans="2:8">
      <c r="C23" s="11">
        <f>C14+C15+C16+C17+C18+C19+C20+C21+C22</f>
        <v>52</v>
      </c>
      <c r="D23" s="11">
        <f>D14+D15+D16+D17+D18+D19+D20+D21+D22</f>
        <v>877.8</v>
      </c>
      <c r="E23" s="11">
        <f>E14+E15+E16+E17+E18+E19+E20+E21+E22</f>
        <v>201.2</v>
      </c>
      <c r="F23" s="11">
        <f>F14+F15+F16+F17+F18+F19+F20+F21+F22</f>
        <v>102.95</v>
      </c>
      <c r="G23" s="11">
        <f>G14+G15+G16+G17+G18+G19+G20+G21+G22</f>
        <v>338.25</v>
      </c>
      <c r="H23" s="11">
        <f t="shared" si="0"/>
        <v>1572.2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C686-7CAF-408E-B470-00AFDEE94F2B}">
  <dimension ref="B2:H29"/>
  <sheetViews>
    <sheetView workbookViewId="0">
      <selection activeCell="G22" sqref="G22"/>
    </sheetView>
  </sheetViews>
  <sheetFormatPr defaultColWidth="8.85546875" defaultRowHeight="14.45"/>
  <cols>
    <col min="1" max="1" width="8.7109375" customWidth="1"/>
    <col min="2" max="2" width="20.42578125" customWidth="1"/>
    <col min="3" max="3" width="17.7109375" customWidth="1"/>
    <col min="4" max="7" width="17.28515625" customWidth="1"/>
    <col min="8" max="8" width="17.85546875" customWidth="1"/>
  </cols>
  <sheetData>
    <row r="2" spans="2:8">
      <c r="B2" s="2" t="s">
        <v>0</v>
      </c>
      <c r="C2" s="3">
        <f>H10</f>
        <v>1685.1</v>
      </c>
      <c r="E2" s="1" t="s">
        <v>1</v>
      </c>
      <c r="F2" s="3">
        <f>C2-C3</f>
        <v>1150.8999999999999</v>
      </c>
    </row>
    <row r="3" spans="2:8">
      <c r="B3" s="2" t="s">
        <v>2</v>
      </c>
      <c r="C3" s="3">
        <f>H23</f>
        <v>534.20000000000005</v>
      </c>
    </row>
    <row r="5" spans="2:8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</row>
    <row r="6" spans="2:8">
      <c r="B6" s="4" t="s">
        <v>10</v>
      </c>
      <c r="C6" s="5">
        <v>1500.6</v>
      </c>
      <c r="D6" s="5"/>
      <c r="E6" s="5"/>
      <c r="F6" s="5"/>
      <c r="G6" s="5"/>
      <c r="H6" s="6">
        <f>C6+D6+E6+F6+G6</f>
        <v>1500.6</v>
      </c>
    </row>
    <row r="7" spans="2:8">
      <c r="B7" s="4" t="s">
        <v>11</v>
      </c>
      <c r="C7" s="5">
        <v>102.5</v>
      </c>
      <c r="D7" s="5"/>
      <c r="E7" s="5"/>
      <c r="F7" s="5"/>
      <c r="G7" s="5"/>
      <c r="H7" s="6">
        <f>C7+D7+E7+F7+G7</f>
        <v>102.5</v>
      </c>
    </row>
    <row r="8" spans="2:8">
      <c r="B8" s="4" t="s">
        <v>12</v>
      </c>
      <c r="C8" s="5"/>
      <c r="D8" s="5">
        <v>12</v>
      </c>
      <c r="E8" s="5">
        <v>45</v>
      </c>
      <c r="F8" s="5"/>
      <c r="G8" s="5"/>
      <c r="H8" s="6">
        <f>C8+D8+E8+F8+G8</f>
        <v>57</v>
      </c>
    </row>
    <row r="9" spans="2:8">
      <c r="B9" s="4" t="s">
        <v>13</v>
      </c>
      <c r="C9" s="5"/>
      <c r="D9" s="5"/>
      <c r="E9" s="5">
        <v>10</v>
      </c>
      <c r="F9" s="5"/>
      <c r="G9" s="5">
        <v>15</v>
      </c>
      <c r="H9" s="6">
        <f>C9+D9+E9+F9+G9</f>
        <v>25</v>
      </c>
    </row>
    <row r="10" spans="2:8">
      <c r="C10" s="6">
        <f>C6+C7+C8+C9</f>
        <v>1603.1</v>
      </c>
      <c r="D10" s="6">
        <f>D6+D7+D8+D9</f>
        <v>12</v>
      </c>
      <c r="E10" s="6">
        <f>E6+E7+E8+E9</f>
        <v>55</v>
      </c>
      <c r="F10" s="6">
        <f>F6+F7+F8+F9</f>
        <v>0</v>
      </c>
      <c r="G10" s="6">
        <f>G6+G7+G8+G9</f>
        <v>15</v>
      </c>
      <c r="H10" s="6">
        <f>C10+D10+E10+F10+G10</f>
        <v>1685.1</v>
      </c>
    </row>
    <row r="13" spans="2:8">
      <c r="B13" s="7" t="s">
        <v>14</v>
      </c>
      <c r="C13" s="7" t="s">
        <v>4</v>
      </c>
      <c r="D13" s="7" t="s">
        <v>15</v>
      </c>
      <c r="E13" s="7" t="s">
        <v>6</v>
      </c>
      <c r="F13" s="7" t="s">
        <v>7</v>
      </c>
      <c r="G13" s="7" t="s">
        <v>16</v>
      </c>
      <c r="H13" s="7" t="s">
        <v>9</v>
      </c>
    </row>
    <row r="14" spans="2:8">
      <c r="B14" s="8" t="s">
        <v>17</v>
      </c>
      <c r="C14" s="10">
        <v>45</v>
      </c>
      <c r="D14" s="10">
        <v>10</v>
      </c>
      <c r="E14" s="10"/>
      <c r="F14" s="10">
        <v>30</v>
      </c>
      <c r="G14" s="10"/>
      <c r="H14" s="11">
        <f t="shared" ref="H14:H23" si="0">C14+D14+E14+F14+G14</f>
        <v>85</v>
      </c>
    </row>
    <row r="15" spans="2:8">
      <c r="B15" s="9" t="s">
        <v>18</v>
      </c>
      <c r="C15" s="10">
        <v>12</v>
      </c>
      <c r="D15" s="10"/>
      <c r="E15" s="10">
        <v>12</v>
      </c>
      <c r="F15" s="10"/>
      <c r="G15" s="10">
        <v>15</v>
      </c>
      <c r="H15" s="11">
        <f t="shared" si="0"/>
        <v>39</v>
      </c>
    </row>
    <row r="16" spans="2:8">
      <c r="B16" s="9" t="s">
        <v>19</v>
      </c>
      <c r="C16" s="10"/>
      <c r="D16" s="10">
        <v>60</v>
      </c>
      <c r="E16" s="10"/>
      <c r="F16" s="10">
        <v>55</v>
      </c>
      <c r="G16" s="10">
        <v>10</v>
      </c>
      <c r="H16" s="11">
        <f t="shared" si="0"/>
        <v>125</v>
      </c>
    </row>
    <row r="17" spans="2:8">
      <c r="B17" s="9" t="s">
        <v>20</v>
      </c>
      <c r="C17" s="10">
        <v>8</v>
      </c>
      <c r="D17" s="10"/>
      <c r="E17" s="10"/>
      <c r="F17" s="10">
        <v>5.45</v>
      </c>
      <c r="G17" s="10"/>
      <c r="H17" s="11">
        <f t="shared" si="0"/>
        <v>13.45</v>
      </c>
    </row>
    <row r="18" spans="2:8">
      <c r="B18" s="9" t="s">
        <v>21</v>
      </c>
      <c r="C18" s="10">
        <v>6.6</v>
      </c>
      <c r="D18" s="10">
        <v>7.8</v>
      </c>
      <c r="E18" s="10">
        <v>4.3</v>
      </c>
      <c r="F18" s="10">
        <v>3.5</v>
      </c>
      <c r="G18" s="10">
        <v>9.25</v>
      </c>
      <c r="H18" s="11">
        <f t="shared" si="0"/>
        <v>31.45</v>
      </c>
    </row>
    <row r="19" spans="2:8">
      <c r="B19" s="9" t="s">
        <v>22</v>
      </c>
      <c r="C19" s="10"/>
      <c r="D19" s="10"/>
      <c r="E19" s="10">
        <v>26.9</v>
      </c>
      <c r="F19" s="10"/>
      <c r="G19" s="10"/>
      <c r="H19" s="11">
        <f t="shared" si="0"/>
        <v>26.9</v>
      </c>
    </row>
    <row r="20" spans="2:8">
      <c r="B20" s="9" t="s">
        <v>23</v>
      </c>
      <c r="C20" s="10"/>
      <c r="D20" s="10">
        <v>40</v>
      </c>
      <c r="E20" s="10"/>
      <c r="F20" s="10"/>
      <c r="G20" s="10"/>
      <c r="H20" s="11">
        <f t="shared" si="0"/>
        <v>40</v>
      </c>
    </row>
    <row r="21" spans="2:8">
      <c r="B21" s="9" t="s">
        <v>24</v>
      </c>
      <c r="C21" s="10">
        <v>15.4</v>
      </c>
      <c r="D21" s="10"/>
      <c r="E21" s="10"/>
      <c r="F21" s="10">
        <v>9</v>
      </c>
      <c r="G21" s="10">
        <v>9</v>
      </c>
      <c r="H21" s="11">
        <f t="shared" si="0"/>
        <v>33.4</v>
      </c>
    </row>
    <row r="22" spans="2:8">
      <c r="B22" s="9" t="s">
        <v>25</v>
      </c>
      <c r="C22" s="10"/>
      <c r="D22" s="10"/>
      <c r="E22" s="10">
        <v>80</v>
      </c>
      <c r="F22" s="10"/>
      <c r="G22" s="10">
        <v>60</v>
      </c>
      <c r="H22" s="11">
        <f t="shared" si="0"/>
        <v>140</v>
      </c>
    </row>
    <row r="23" spans="2:8">
      <c r="C23" s="11">
        <f>C14+C15+C16+C17+C18+C19+C20+C21+C22</f>
        <v>87</v>
      </c>
      <c r="D23" s="11">
        <f>D14+D15+D16+D17+D18+D19+D20+D21+D22</f>
        <v>117.8</v>
      </c>
      <c r="E23" s="11">
        <f>E14+E15+E16+E17+E18+E19+E20+E21+E22</f>
        <v>123.2</v>
      </c>
      <c r="F23" s="11">
        <f>F14+F15+F16+F17+F18+F19+F20+F21+F22</f>
        <v>102.95</v>
      </c>
      <c r="G23" s="11">
        <f>G14+G15+G16+G17+G18+G19+G20+G21+G22</f>
        <v>103.25</v>
      </c>
      <c r="H23" s="11">
        <f t="shared" si="0"/>
        <v>534.20000000000005</v>
      </c>
    </row>
    <row r="29" spans="2:8" ht="15">
      <c r="D29" s="12"/>
    </row>
  </sheetData>
  <pageMargins left="0.7" right="0.7" top="0.75" bottom="0.75" header="0.3" footer="0.3"/>
  <pageSetup paperSize="9" orientation="portrait" r:id="rId1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Montalvo</dc:creator>
  <cp:keywords/>
  <dc:description/>
  <cp:lastModifiedBy/>
  <cp:revision/>
  <dcterms:created xsi:type="dcterms:W3CDTF">2015-06-05T18:17:20Z</dcterms:created>
  <dcterms:modified xsi:type="dcterms:W3CDTF">2026-05-18T18:23:27Z</dcterms:modified>
  <cp:category/>
  <cp:contentStatus/>
</cp:coreProperties>
</file>